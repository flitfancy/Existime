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7badca5ac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 充电版" sheetId="1" r:id="R5d1f73bf4cea48b4"/>
    <x:sheet xmlns:r="http://schemas.openxmlformats.org/officeDocument/2006/relationships" name="v2 电池版" sheetId="2" r:id="R7e5271ba03c34fee"/>
  </x:sheets>
</x:workbook>
</file>

<file path=xl/comments1.xml><?xml version="1.0" encoding="utf-8"?>
<x:comments xmlns:x="http://schemas.openxmlformats.org/spreadsheetml/2006/main">
  <x:authors>
    <x:author/>
  </x:authors>
  <x:commentList>
    <x:comment ref="D29" authorId="0">
      <x:text>
        <x:r>
          <x:t>NTC参数参考：https://www.semitec-global.com/products/thermistor_at/
用于核对原设计参数；公开物料表不限定无源器件品牌或料号。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D15" authorId="0">
      <x:text>
        <x:r>
          <x:t>电感额定条件参考：https://www.murata.com/~/media/webrenewal/products/inductor/chip/tokoproducts/wirewoundmetalalloychiptype/m_dfe252012p.ashx
用于核对原设计参数；公开物料表不限定无源器件品牌或料号。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0"/>
      <x:color rgb="FF243247"/>
      <x:name val="Arial"/>
    </x:font>
    <x:font>
      <x:b/>
      <x:sz val="16"/>
      <x:color rgb="FF18283B"/>
      <x:name val="Arial"/>
    </x:font>
    <x:font>
      <x:sz val="10"/>
      <x:color rgb="FF526275"/>
      <x:name val="Arial"/>
    </x:font>
    <x:font>
      <x:b/>
      <x:sz val="12"/>
      <x:color rgb="FF18283B"/>
      <x:name val="Arial"/>
    </x:font>
    <x:font>
      <x:sz val="9"/>
      <x:color rgb="FF52627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65B"/>
      </x:patternFill>
    </x:fill>
    <x:fill>
      <x:patternFill patternType="solid">
        <x:fgColor rgb="FFF1F4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5B0BA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be78f8f7e451e" /><Relationship Type="http://schemas.openxmlformats.org/officeDocument/2006/relationships/theme" Target="/xl/theme/theme1.xml" Id="R91f5da4624464271" /><Relationship Type="http://schemas.openxmlformats.org/officeDocument/2006/relationships/sharedStrings" Target="/xl/sharedStrings.xml" Id="R2b145ee7dc1d47e5" /><Relationship Type="http://schemas.openxmlformats.org/officeDocument/2006/relationships/worksheet" Target="/xl/worksheets/sheet1.xml" Id="R5d1f73bf4cea48b4" /><Relationship Type="http://schemas.openxmlformats.org/officeDocument/2006/relationships/worksheet" Target="/xl/worksheets/sheet2.xml" Id="R7e5271ba03c3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f146ef44ee74037" /><Relationship Type="http://schemas.openxmlformats.org/officeDocument/2006/relationships/vmlDrawing" Target="/xl/drawings/vmldrawing.vml" Id="R217bc0ddcd9d43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9827540487e4bb4" /><Relationship Type="http://schemas.openxmlformats.org/officeDocument/2006/relationships/vmlDrawing" Target="/xl/drawings/vmldrawing2.vml" Id="Rd505f905bd5749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.380001068115234" hidden="0" customWidth="1"/>
    <x:col min="2" max="2" width="8.130000114440918" hidden="0" customWidth="1"/>
    <x:col min="3" max="3" width="13.130000114440918" hidden="0" customWidth="1"/>
    <x:col min="4" max="4" width="48.75" hidden="0" customWidth="1"/>
    <x:col min="5" max="5" width="24.3799991607666" hidden="0" customWidth="1"/>
    <x:col min="6" max="6" width="51.25" hidden="0" customWidth="1"/>
  </x:cols>
  <x:sheetData>
    <x:row r="1">
      <x:c r="A1" s="2"/>
      <x:c r="B1" s="2"/>
      <x:c r="C1" s="2"/>
      <x:c r="D1" s="2"/>
      <x:c r="E1" s="2"/>
      <x:c r="F1" s="2"/>
    </x:row>
    <x:row r="2" ht="24" customHeight="1">
      <x:c r="A2" s="3" t="str">
        <x:v>map v1 充电版 · 物料表</x:v>
      </x:c>
      <x:c r="B2" s="2"/>
      <x:c r="C2" s="2"/>
      <x:c r="D2" s="2"/>
      <x:c r="E2" s="2"/>
      <x:c r="F2" s="2"/>
    </x:row>
    <x:row r="3">
      <x:c r="A3" s="4" t="str">
        <x:v>LED、R/C/L等按参数选料；芯片与机械件保留型号。两种丝印共用。</x:v>
      </x:c>
      <x:c r="B3" s="2"/>
      <x:c r="C3" s="2"/>
      <x:c r="D3" s="2"/>
      <x:c r="E3" s="2"/>
      <x:c r="F3" s="2"/>
    </x:row>
    <x:row r="4">
      <x:c r="A4" s="2" t="str">
        <x:v>单板总数</x:v>
      </x:c>
      <x:c r="B4" s="6" t="n">
        <x:f>SUM(B7:B37)</x:f>
        <x:v>145</x:v>
      </x:c>
      <x:c r="C4" s="2" t="str">
        <x:v>件</x:v>
      </x:c>
      <x:c r="D4" s="7" t="str">
        <x:v>来源：该版本原生工程、BOM及核对后的器件参数</x:v>
      </x:c>
      <x:c r="E4" s="2"/>
      <x:c r="F4" s="2"/>
    </x:row>
    <x:row r="5">
      <x:c r="A5" s="8"/>
      <x:c r="B5" s="8"/>
      <x:c r="C5" s="8"/>
      <x:c r="D5" s="8"/>
      <x:c r="E5" s="8"/>
      <x:c r="F5" s="8"/>
    </x:row>
    <x:row r="6" ht="21" customHeight="1">
      <x:c r="A6" s="11" t="str">
        <x:v>位号</x:v>
      </x:c>
      <x:c r="B6" s="11" t="str">
        <x:v>数量</x:v>
      </x:c>
      <x:c r="C6" s="11" t="str">
        <x:v>类别</x:v>
      </x:c>
      <x:c r="D6" s="11" t="str">
        <x:v>参数 / 型号</x:v>
      </x:c>
      <x:c r="E6" s="11" t="str">
        <x:v>封装</x:v>
      </x:c>
      <x:c r="F6" s="11" t="str">
        <x:v>备注</x:v>
      </x:c>
    </x:row>
    <x:row r="7" ht="28.5" customHeight="1">
      <x:c r="A7" s="13" t="str">
        <x:v>C1–C2, C4, C14–C15, C23</x:v>
      </x:c>
      <x:c r="B7" s="17" t="n">
        <x:v>6</x:v>
      </x:c>
      <x:c r="C7" s="15" t="str">
        <x:v>电容</x:v>
      </x:c>
      <x:c r="D7" s="13" t="str">
        <x:v>4.7µF；±10%；25V；X5R</x:v>
      </x:c>
      <x:c r="E7" s="14" t="str">
        <x:v>0805（英制）</x:v>
      </x:c>
      <x:c r="F7" s="13" t="str"/>
    </x:row>
    <x:row r="8" ht="28.5" customHeight="1">
      <x:c r="A8" s="18" t="str">
        <x:v>C3, C5–C13, C16–C17, C20–C21</x:v>
      </x:c>
      <x:c r="B8" s="19" t="n">
        <x:v>14</x:v>
      </x:c>
      <x:c r="C8" s="20" t="str">
        <x:v>电容</x:v>
      </x:c>
      <x:c r="D8" s="18" t="str">
        <x:v>100nF；±10%；50V；X7R</x:v>
      </x:c>
      <x:c r="E8" s="21" t="str">
        <x:v>0805（英制）</x:v>
      </x:c>
      <x:c r="F8" s="18" t="str"/>
    </x:row>
    <x:row r="9" ht="28.5" customHeight="1">
      <x:c r="A9" s="13" t="str">
        <x:v>C18</x:v>
      </x:c>
      <x:c r="B9" s="17" t="n">
        <x:v>1</x:v>
      </x:c>
      <x:c r="C9" s="15" t="str">
        <x:v>电容</x:v>
      </x:c>
      <x:c r="D9" s="13" t="str">
        <x:v>1µF；±10%；25V；X7R</x:v>
      </x:c>
      <x:c r="E9" s="14" t="str">
        <x:v>0805（英制）</x:v>
      </x:c>
      <x:c r="F9" s="13" t="str"/>
    </x:row>
    <x:row r="10" ht="28.5" customHeight="1">
      <x:c r="A10" s="18" t="str">
        <x:v>C19</x:v>
      </x:c>
      <x:c r="B10" s="19" t="n">
        <x:v>1</x:v>
      </x:c>
      <x:c r="C10" s="20" t="str">
        <x:v>电容</x:v>
      </x:c>
      <x:c r="D10" s="18" t="str">
        <x:v>220nF；±10%；50V；X7R</x:v>
      </x:c>
      <x:c r="E10" s="21" t="str">
        <x:v>0805（英制）</x:v>
      </x:c>
      <x:c r="F10" s="18" t="str"/>
    </x:row>
    <x:row r="11" ht="28.5" customHeight="1">
      <x:c r="A11" s="13" t="str">
        <x:v>C22</x:v>
      </x:c>
      <x:c r="B11" s="17" t="n">
        <x:v>1</x:v>
      </x:c>
      <x:c r="C11" s="15" t="str">
        <x:v>电容</x:v>
      </x:c>
      <x:c r="D11" s="13" t="str">
        <x:v>10µF；±10%；25V；X5R</x:v>
      </x:c>
      <x:c r="E11" s="14" t="str">
        <x:v>0805（英制）</x:v>
      </x:c>
      <x:c r="F11" s="13" t="str"/>
    </x:row>
    <x:row r="12" ht="28.5" customHeight="1">
      <x:c r="A12" s="18" t="str">
        <x:v>D1</x:v>
      </x:c>
      <x:c r="B12" s="19" t="n">
        <x:v>1</x:v>
      </x:c>
      <x:c r="C12" s="20" t="str">
        <x:v>LED</x:v>
      </x:c>
      <x:c r="D12" s="18" t="str">
        <x:v>白色 LED</x:v>
      </x:c>
      <x:c r="E12" s="21" t="str">
        <x:v>0805（英制）</x:v>
      </x:c>
      <x:c r="F12" s="18" t="str">
        <x:v>匹配3.3V/470Ω限流；确认低电流亮度和极性</x:v>
      </x:c>
    </x:row>
    <x:row r="13" ht="28.5" customHeight="1">
      <x:c r="A13" s="13" t="str">
        <x:v>D2, D9, D22, D33–D34</x:v>
      </x:c>
      <x:c r="B13" s="17" t="n">
        <x:v>5</x:v>
      </x:c>
      <x:c r="C13" s="15" t="str">
        <x:v>LED</x:v>
      </x:c>
      <x:c r="D13" s="13" t="str">
        <x:v>白色 LED；原设计参考Vf 2.6–2.9V</x:v>
      </x:c>
      <x:c r="E13" s="14" t="str">
        <x:v>0603（英制）</x:v>
      </x:c>
      <x:c r="F13" s="13" t="str">
        <x:v>亮度参考120–210mcd；按低电流亮度及极性选料</x:v>
      </x:c>
    </x:row>
    <x:row r="14" ht="28.5" customHeight="1">
      <x:c r="A14" s="18" t="str">
        <x:v>D3–D8, D10–D21, D23–D32, D35–D43</x:v>
      </x:c>
      <x:c r="B14" s="19" t="n">
        <x:v>37</x:v>
      </x:c>
      <x:c r="C14" s="20" t="str">
        <x:v>LED</x:v>
      </x:c>
      <x:c r="D14" s="18" t="str">
        <x:v>黄绿色 LED；约570nm；典型Vf 2.5V</x:v>
      </x:c>
      <x:c r="E14" s="21" t="str">
        <x:v>0805（英制）</x:v>
      </x:c>
      <x:c r="F14" s="18" t="str">
        <x:v>原设计参考70mcd @20mA；按低电流亮度及极性选料</x:v>
      </x:c>
    </x:row>
    <x:row r="15" ht="28.5" customHeight="1">
      <x:c r="A15" s="13" t="str">
        <x:v>F1</x:v>
      </x:c>
      <x:c r="B15" s="17" t="n">
        <x:v>1</x:v>
      </x:c>
      <x:c r="C15" s="15" t="str">
        <x:v>自恢复保险丝</x:v>
      </x:c>
      <x:c r="D15" s="13" t="str">
        <x:v>PPTC；耐压≥33V；保持电流0.75A；动作电流1.5A；恢复后电阻≤450mΩ</x:v>
      </x:c>
      <x:c r="E15" s="14" t="str">
        <x:v>1812（英制）</x:v>
      </x:c>
      <x:c r="F15" s="13" t="str"/>
    </x:row>
    <x:row r="16" ht="28.5" customHeight="1">
      <x:c r="A16" s="18" t="str">
        <x:v>J1</x:v>
      </x:c>
      <x:c r="B16" s="19" t="n">
        <x:v>1</x:v>
      </x:c>
      <x:c r="C16" s="20" t="str">
        <x:v>连接器</x:v>
      </x:c>
      <x:c r="D16" s="18" t="str">
        <x:v>GT-USB-7010ASV</x:v>
      </x:c>
      <x:c r="E16" s="21" t="str">
        <x:v>SMD</x:v>
      </x:c>
      <x:c r="F16" s="18" t="str"/>
    </x:row>
    <x:row r="17" ht="28.5" customHeight="1">
      <x:c r="A17" s="13" t="str">
        <x:v>Q1</x:v>
      </x:c>
      <x:c r="B17" s="17" t="n">
        <x:v>1</x:v>
      </x:c>
      <x:c r="C17" s="15" t="str">
        <x:v>MOSFET</x:v>
      </x:c>
      <x:c r="D17" s="13" t="str">
        <x:v>FS8205A</x:v>
      </x:c>
      <x:c r="E17" s="14" t="str">
        <x:v>SOT-23-6L</x:v>
      </x:c>
      <x:c r="F17" s="13" t="str"/>
    </x:row>
    <x:row r="18" ht="28.5" customHeight="1">
      <x:c r="A18" s="18" t="str">
        <x:v>R1–R43</x:v>
      </x:c>
      <x:c r="B18" s="19" t="n">
        <x:v>43</x:v>
      </x:c>
      <x:c r="C18" s="20" t="str">
        <x:v>电阻</x:v>
      </x:c>
      <x:c r="D18" s="18" t="str">
        <x:v>470Ω ±1%；功率≥100mW；温漂±100ppm/℃</x:v>
      </x:c>
      <x:c r="E18" s="21" t="str">
        <x:v>0603（英制）</x:v>
      </x:c>
      <x:c r="F18" s="18" t="str"/>
    </x:row>
    <x:row r="19" ht="28.5" customHeight="1">
      <x:c r="A19" s="13" t="str">
        <x:v>R44–R45</x:v>
      </x:c>
      <x:c r="B19" s="17" t="n">
        <x:v>2</x:v>
      </x:c>
      <x:c r="C19" s="15" t="str">
        <x:v>电阻</x:v>
      </x:c>
      <x:c r="D19" s="13" t="str">
        <x:v>5.1kΩ ±1%；功率≥100mW；温漂±100ppm/℃</x:v>
      </x:c>
      <x:c r="E19" s="14" t="str">
        <x:v>0603（英制）</x:v>
      </x:c>
      <x:c r="F19" s="13" t="str"/>
    </x:row>
    <x:row r="20" ht="28.5" customHeight="1">
      <x:c r="A20" s="18" t="str">
        <x:v>R46–R47, R51</x:v>
      </x:c>
      <x:c r="B20" s="19" t="n">
        <x:v>3</x:v>
      </x:c>
      <x:c r="C20" s="20" t="str">
        <x:v>电阻</x:v>
      </x:c>
      <x:c r="D20" s="18" t="str">
        <x:v>4.7kΩ ±1%；功率≥125mW；温漂±100ppm/℃</x:v>
      </x:c>
      <x:c r="E20" s="21" t="str">
        <x:v>0805（英制）</x:v>
      </x:c>
      <x:c r="F20" s="18" t="str"/>
    </x:row>
    <x:row r="21" ht="28.5" customHeight="1">
      <x:c r="A21" s="13" t="str">
        <x:v>R48–R50, R59–R60</x:v>
      </x:c>
      <x:c r="B21" s="17" t="n">
        <x:v>5</x:v>
      </x:c>
      <x:c r="C21" s="15" t="str">
        <x:v>电阻</x:v>
      </x:c>
      <x:c r="D21" s="13" t="str">
        <x:v>10kΩ ±5%；功率≥125mW；温漂±100ppm/℃</x:v>
      </x:c>
      <x:c r="E21" s="14" t="str">
        <x:v>0805（英制）</x:v>
      </x:c>
      <x:c r="F21" s="13" t="str"/>
    </x:row>
    <x:row r="22" ht="28.5" customHeight="1">
      <x:c r="A22" s="18" t="str">
        <x:v>R52, R57–R58</x:v>
      </x:c>
      <x:c r="B22" s="19" t="n">
        <x:v>3</x:v>
      </x:c>
      <x:c r="C22" s="20" t="str">
        <x:v>电阻</x:v>
      </x:c>
      <x:c r="D22" s="18" t="str">
        <x:v>100kΩ ±1%；功率≥125mW；温漂±100ppm/℃</x:v>
      </x:c>
      <x:c r="E22" s="21" t="str">
        <x:v>0805（英制）</x:v>
      </x:c>
      <x:c r="F22" s="18" t="str"/>
    </x:row>
    <x:row r="23" ht="28.5" customHeight="1">
      <x:c r="A23" s="13" t="str">
        <x:v>R53</x:v>
      </x:c>
      <x:c r="B23" s="17" t="n">
        <x:v>1</x:v>
      </x:c>
      <x:c r="C23" s="15" t="str">
        <x:v>电阻</x:v>
      </x:c>
      <x:c r="D23" s="13" t="str">
        <x:v>1.8kΩ ±1%；功率≥100mW；温漂±100ppm/℃</x:v>
      </x:c>
      <x:c r="E23" s="14" t="str">
        <x:v>0603（英制）</x:v>
      </x:c>
      <x:c r="F23" s="13" t="str"/>
    </x:row>
    <x:row r="24" ht="28.5" customHeight="1">
      <x:c r="A24" s="18" t="str">
        <x:v>R54</x:v>
      </x:c>
      <x:c r="B24" s="19" t="n">
        <x:v>1</x:v>
      </x:c>
      <x:c r="C24" s="20" t="str">
        <x:v>电阻</x:v>
      </x:c>
      <x:c r="D24" s="18" t="str">
        <x:v>1.5kΩ ±1%；功率≥100mW；温漂±100ppm/℃</x:v>
      </x:c>
      <x:c r="E24" s="21" t="str">
        <x:v>0603（英制）</x:v>
      </x:c>
      <x:c r="F24" s="18" t="str"/>
    </x:row>
    <x:row r="25" ht="28.5" customHeight="1">
      <x:c r="A25" s="13" t="str">
        <x:v>R55</x:v>
      </x:c>
      <x:c r="B25" s="17" t="n">
        <x:v>1</x:v>
      </x:c>
      <x:c r="C25" s="15" t="str">
        <x:v>电阻</x:v>
      </x:c>
      <x:c r="D25" s="13" t="str">
        <x:v>330Ω ±1%；功率≥100mW；温漂±100ppm/℃</x:v>
      </x:c>
      <x:c r="E25" s="14" t="str">
        <x:v>0603（英制）</x:v>
      </x:c>
      <x:c r="F25" s="13" t="str"/>
    </x:row>
    <x:row r="26" ht="28.5" customHeight="1">
      <x:c r="A26" s="18" t="str">
        <x:v>R56</x:v>
      </x:c>
      <x:c r="B26" s="19" t="n">
        <x:v>1</x:v>
      </x:c>
      <x:c r="C26" s="20" t="str">
        <x:v>电阻</x:v>
      </x:c>
      <x:c r="D26" s="18" t="str">
        <x:v>2.2kΩ ±5%；功率≥125mW；温漂±100ppm/℃</x:v>
      </x:c>
      <x:c r="E26" s="21" t="str">
        <x:v>0805（英制）</x:v>
      </x:c>
      <x:c r="F26" s="18" t="str"/>
    </x:row>
    <x:row r="27" ht="28.5" customHeight="1">
      <x:c r="A27" s="13" t="str">
        <x:v>SW1–SW2</x:v>
      </x:c>
      <x:c r="B27" s="17" t="n">
        <x:v>2</x:v>
      </x:c>
      <x:c r="C27" s="15" t="str">
        <x:v>开关</x:v>
      </x:c>
      <x:c r="D27" s="13" t="str">
        <x:v>TS-1088-AR02016</x:v>
      </x:c>
      <x:c r="E27" s="14" t="str">
        <x:v>SMD,4x3mm</x:v>
      </x:c>
      <x:c r="F27" s="13" t="str"/>
    </x:row>
    <x:row r="28" ht="28.5" customHeight="1">
      <x:c r="A28" s="18" t="str">
        <x:v>SW3</x:v>
      </x:c>
      <x:c r="B28" s="19" t="n">
        <x:v>1</x:v>
      </x:c>
      <x:c r="C28" s="20" t="str">
        <x:v>开关</x:v>
      </x:c>
      <x:c r="D28" s="18" t="str">
        <x:v>MK-12C02-G020</x:v>
      </x:c>
      <x:c r="E28" s="21" t="str">
        <x:v>SMD,6.6x1.4mm</x:v>
      </x:c>
      <x:c r="F28" s="18" t="str"/>
    </x:row>
    <x:row r="29" ht="28.5" customHeight="1">
      <x:c r="A29" s="13" t="str">
        <x:v>TH1</x:v>
      </x:c>
      <x:c r="B29" s="17" t="n">
        <x:v>1</x:v>
      </x:c>
      <x:c r="C29" s="15" t="str">
        <x:v>NTC热敏电阻</x:v>
      </x:c>
      <x:c r="D29" s="13" t="str">
        <x:v>10kΩ @25°C ±1%；B25/85=3435K ±1%</x:v>
      </x:c>
      <x:c r="E29" s="14" t="str">
        <x:v>直插2脚；板孔距2.54mm</x:v>
      </x:c>
      <x:c r="F29" s="13" t="str">
        <x:v>用于v1充电温度检测；需匹配阻温曲线及安装位置</x:v>
      </x:c>
    </x:row>
    <x:row r="30" ht="28.5" customHeight="1">
      <x:c r="A30" s="18" t="str">
        <x:v>U1</x:v>
      </x:c>
      <x:c r="B30" s="19" t="n">
        <x:v>1</x:v>
      </x:c>
      <x:c r="C30" s="20" t="str">
        <x:v>芯片</x:v>
      </x:c>
      <x:c r="D30" s="18" t="str">
        <x:v>STM32C011F4P6</x:v>
      </x:c>
      <x:c r="E30" s="21" t="str">
        <x:v>TSSOP-20</x:v>
      </x:c>
      <x:c r="F30" s="18" t="str"/>
    </x:row>
    <x:row r="31" ht="28.5" customHeight="1">
      <x:c r="A31" s="13" t="str">
        <x:v>U2</x:v>
      </x:c>
      <x:c r="B31" s="17" t="n">
        <x:v>1</x:v>
      </x:c>
      <x:c r="C31" s="15" t="str">
        <x:v>芯片</x:v>
      </x:c>
      <x:c r="D31" s="13" t="str">
        <x:v>TLV75533PDBVR</x:v>
      </x:c>
      <x:c r="E31" s="14" t="str">
        <x:v>SOT-23-5</x:v>
      </x:c>
      <x:c r="F31" s="13" t="str"/>
    </x:row>
    <x:row r="32" ht="28.5" customHeight="1">
      <x:c r="A32" s="18" t="str">
        <x:v>U3</x:v>
      </x:c>
      <x:c r="B32" s="19" t="n">
        <x:v>1</x:v>
      </x:c>
      <x:c r="C32" s="20" t="str">
        <x:v>芯片</x:v>
      </x:c>
      <x:c r="D32" s="18" t="str">
        <x:v>AT24C02C-SSHM-T</x:v>
      </x:c>
      <x:c r="E32" s="21" t="str">
        <x:v>SOIC-8</x:v>
      </x:c>
      <x:c r="F32" s="18" t="str"/>
    </x:row>
    <x:row r="33" ht="28.5" customHeight="1">
      <x:c r="A33" s="13" t="str">
        <x:v>U4–U8</x:v>
      </x:c>
      <x:c r="B33" s="17" t="n">
        <x:v>5</x:v>
      </x:c>
      <x:c r="C33" s="15" t="str">
        <x:v>芯片</x:v>
      </x:c>
      <x:c r="D33" s="13" t="str">
        <x:v>TCA9534PWR</x:v>
      </x:c>
      <x:c r="E33" s="14" t="str">
        <x:v>TSSOP-16</x:v>
      </x:c>
      <x:c r="F33" s="13" t="str"/>
    </x:row>
    <x:row r="34" ht="28.5" customHeight="1">
      <x:c r="A34" s="18" t="str">
        <x:v>U9</x:v>
      </x:c>
      <x:c r="B34" s="19" t="n">
        <x:v>1</x:v>
      </x:c>
      <x:c r="C34" s="20" t="str">
        <x:v>芯片</x:v>
      </x:c>
      <x:c r="D34" s="18" t="str">
        <x:v>BQ24074RGTR</x:v>
      </x:c>
      <x:c r="E34" s="21" t="str">
        <x:v>QFN-16-EP(3x3)</x:v>
      </x:c>
      <x:c r="F34" s="18" t="str"/>
    </x:row>
    <x:row r="35" ht="28.5" customHeight="1">
      <x:c r="A35" s="13" t="str">
        <x:v>U10</x:v>
      </x:c>
      <x:c r="B35" s="17" t="n">
        <x:v>1</x:v>
      </x:c>
      <x:c r="C35" s="15" t="str">
        <x:v>芯片</x:v>
      </x:c>
      <x:c r="D35" s="13" t="str">
        <x:v>BQ29728DSER</x:v>
      </x:c>
      <x:c r="E35" s="14" t="str">
        <x:v>WSON-6(1.5x1.5)</x:v>
      </x:c>
      <x:c r="F35" s="13" t="str"/>
    </x:row>
    <x:row r="36" ht="28.5" customHeight="1">
      <x:c r="A36" s="18" t="str">
        <x:v>U11</x:v>
      </x:c>
      <x:c r="B36" s="19" t="n">
        <x:v>1</x:v>
      </x:c>
      <x:c r="C36" s="20" t="str">
        <x:v>芯片</x:v>
      </x:c>
      <x:c r="D36" s="18" t="str">
        <x:v>TPS22918DBVR</x:v>
      </x:c>
      <x:c r="E36" s="21" t="str">
        <x:v>SOT-23-6</x:v>
      </x:c>
      <x:c r="F36" s="18" t="str"/>
    </x:row>
    <x:row r="37" ht="28.5" customHeight="1">
      <x:c r="A37" s="13" t="str">
        <x:v>U12</x:v>
      </x:c>
      <x:c r="B37" s="17" t="n">
        <x:v>1</x:v>
      </x:c>
      <x:c r="C37" s="15" t="str">
        <x:v>芯片</x:v>
      </x:c>
      <x:c r="D37" s="13" t="str">
        <x:v>LSM303AGRTR</x:v>
      </x:c>
      <x:c r="E37" s="14" t="str">
        <x:v>LGA-12(2x2)</x:v>
      </x:c>
      <x:c r="F37" s="13" t="str"/>
    </x:row>
    <x:row r="38">
      <x:c r="A38" s="2"/>
      <x:c r="B38" s="2"/>
      <x:c r="C38" s="2"/>
      <x:c r="D38" s="2"/>
      <x:c r="E38" s="2"/>
      <x:c r="F38" s="2"/>
    </x:row>
    <x:row r="39">
      <x:c r="A39" s="22" t="str">
        <x:v>容量/耐压/精度/功率及封装需同时匹配；本表按完整装配数量，不包含J2及TP1/TP2。</x:v>
      </x:c>
      <x:c r="B39" s="2"/>
      <x:c r="C39" s="2"/>
      <x:c r="D39" s="2"/>
      <x:c r="E39" s="2"/>
      <x:c r="F39" s="2"/>
    </x:row>
  </x:sheetData>
  <x:pageMargins left="0.7" right="0.7" top="0.75" bottom="0.75" header="0.3" footer="0.3"/>
  <x:legacyDrawing xmlns:r="http://schemas.openxmlformats.org/officeDocument/2006/relationships" r:id="R217bc0ddcd9d434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.380001068115234" hidden="0" customWidth="1"/>
    <x:col min="2" max="2" width="8.130000114440918" hidden="0" customWidth="1"/>
    <x:col min="3" max="3" width="13.130000114440918" hidden="0" customWidth="1"/>
    <x:col min="4" max="4" width="48.75" hidden="0" customWidth="1"/>
    <x:col min="5" max="5" width="24.3799991607666" hidden="0" customWidth="1"/>
    <x:col min="6" max="6" width="51.25" hidden="0" customWidth="1"/>
  </x:cols>
  <x:sheetData>
    <x:row r="1">
      <x:c r="A1" s="2"/>
      <x:c r="B1" s="2"/>
      <x:c r="C1" s="2"/>
      <x:c r="D1" s="2"/>
      <x:c r="E1" s="2"/>
      <x:c r="F1" s="2"/>
    </x:row>
    <x:row r="2" ht="24" customHeight="1">
      <x:c r="A2" s="3" t="str">
        <x:v>map v2 电池版 · 物料表</x:v>
      </x:c>
      <x:c r="B2" s="2"/>
      <x:c r="C2" s="2"/>
      <x:c r="D2" s="2"/>
      <x:c r="E2" s="2"/>
      <x:c r="F2" s="2"/>
    </x:row>
    <x:row r="3">
      <x:c r="A3" s="4" t="str">
        <x:v>LED、R/C/L等按参数选料；芯片与机械件保留型号。两种丝印共用。</x:v>
      </x:c>
      <x:c r="B3" s="2"/>
      <x:c r="C3" s="2"/>
      <x:c r="D3" s="2"/>
      <x:c r="E3" s="2"/>
      <x:c r="F3" s="2"/>
    </x:row>
    <x:row r="4">
      <x:c r="A4" s="2" t="str">
        <x:v>单板总数</x:v>
      </x:c>
      <x:c r="B4" s="6" t="n">
        <x:f>SUM(B7:B28)</x:f>
        <x:v>132</x:v>
      </x:c>
      <x:c r="C4" s="2" t="str">
        <x:v>件</x:v>
      </x:c>
      <x:c r="D4" s="7" t="str">
        <x:v>来源：该版本原生工程、BOM及核对后的器件参数</x:v>
      </x:c>
      <x:c r="E4" s="2"/>
      <x:c r="F4" s="2"/>
    </x:row>
    <x:row r="5">
      <x:c r="A5" s="8"/>
      <x:c r="B5" s="8"/>
      <x:c r="C5" s="8"/>
      <x:c r="D5" s="8"/>
      <x:c r="E5" s="8"/>
      <x:c r="F5" s="8"/>
    </x:row>
    <x:row r="6" ht="21" customHeight="1">
      <x:c r="A6" s="11" t="str">
        <x:v>位号</x:v>
      </x:c>
      <x:c r="B6" s="11" t="str">
        <x:v>数量</x:v>
      </x:c>
      <x:c r="C6" s="11" t="str">
        <x:v>类别</x:v>
      </x:c>
      <x:c r="D6" s="11" t="str">
        <x:v>参数 / 型号</x:v>
      </x:c>
      <x:c r="E6" s="11" t="str">
        <x:v>封装</x:v>
      </x:c>
      <x:c r="F6" s="11" t="str">
        <x:v>备注</x:v>
      </x:c>
    </x:row>
    <x:row r="7" ht="28.5" customHeight="1">
      <x:c r="A7" s="13" t="str">
        <x:v>C2, C4</x:v>
      </x:c>
      <x:c r="B7" s="17" t="n">
        <x:v>2</x:v>
      </x:c>
      <x:c r="C7" s="15" t="str">
        <x:v>电容</x:v>
      </x:c>
      <x:c r="D7" s="13" t="str">
        <x:v>4.7µF；±10%；25V；X5R</x:v>
      </x:c>
      <x:c r="E7" s="14" t="str">
        <x:v>0805（英制）</x:v>
      </x:c>
      <x:c r="F7" s="13" t="str"/>
    </x:row>
    <x:row r="8" ht="28.5" customHeight="1">
      <x:c r="A8" s="18" t="str">
        <x:v>C3, C5–C13, C17, C20–C21</x:v>
      </x:c>
      <x:c r="B8" s="19" t="n">
        <x:v>13</x:v>
      </x:c>
      <x:c r="C8" s="20" t="str">
        <x:v>电容</x:v>
      </x:c>
      <x:c r="D8" s="18" t="str">
        <x:v>100nF；±10%；50V；X7R</x:v>
      </x:c>
      <x:c r="E8" s="21" t="str">
        <x:v>0805（英制）</x:v>
      </x:c>
      <x:c r="F8" s="18" t="str"/>
    </x:row>
    <x:row r="9" ht="28.5" customHeight="1">
      <x:c r="A9" s="13" t="str">
        <x:v>C19</x:v>
      </x:c>
      <x:c r="B9" s="17" t="n">
        <x:v>1</x:v>
      </x:c>
      <x:c r="C9" s="15" t="str">
        <x:v>电容</x:v>
      </x:c>
      <x:c r="D9" s="13" t="str">
        <x:v>220nF；±10%；50V；X7R</x:v>
      </x:c>
      <x:c r="E9" s="14" t="str">
        <x:v>0805（英制）</x:v>
      </x:c>
      <x:c r="F9" s="13" t="str"/>
    </x:row>
    <x:row r="10" ht="28.5" customHeight="1">
      <x:c r="A10" s="18" t="str">
        <x:v>C22</x:v>
      </x:c>
      <x:c r="B10" s="19" t="n">
        <x:v>1</x:v>
      </x:c>
      <x:c r="C10" s="20" t="str">
        <x:v>电容</x:v>
      </x:c>
      <x:c r="D10" s="18" t="str">
        <x:v>10µF；±10%；25V；X5R</x:v>
      </x:c>
      <x:c r="E10" s="21" t="str">
        <x:v>0805（英制）</x:v>
      </x:c>
      <x:c r="F10" s="18" t="str"/>
    </x:row>
    <x:row r="11" ht="42" customHeight="1">
      <x:c r="A11" s="13" t="str">
        <x:v>CP1–CP3</x:v>
      </x:c>
      <x:c r="B11" s="17" t="n">
        <x:v>3</x:v>
      </x:c>
      <x:c r="C11" s="15" t="str">
        <x:v>电容</x:v>
      </x:c>
      <x:c r="D11" s="13" t="str">
        <x:v>22µF；±10%；25V；X5R</x:v>
      </x:c>
      <x:c r="E11" s="14" t="str">
        <x:v>1210（英制）</x:v>
      </x:c>
      <x:c r="F11" s="13" t="str">
        <x:v>CP1：5V下有效容量≥4.2µF
CP2+CP3：3.3V下总有效容量≥10.4µF</x:v>
      </x:c>
    </x:row>
    <x:row r="12" ht="28.5" customHeight="1">
      <x:c r="A12" s="18" t="str">
        <x:v>D1</x:v>
      </x:c>
      <x:c r="B12" s="19" t="n">
        <x:v>1</x:v>
      </x:c>
      <x:c r="C12" s="20" t="str">
        <x:v>LED</x:v>
      </x:c>
      <x:c r="D12" s="18" t="str">
        <x:v>白色 LED</x:v>
      </x:c>
      <x:c r="E12" s="21" t="str">
        <x:v>0805（英制）</x:v>
      </x:c>
      <x:c r="F12" s="18" t="str">
        <x:v>匹配3.3V/470Ω限流；确认低电流亮度和极性</x:v>
      </x:c>
    </x:row>
    <x:row r="13" ht="28.5" customHeight="1">
      <x:c r="A13" s="13" t="str">
        <x:v>D2, D9, D22, D33–D34</x:v>
      </x:c>
      <x:c r="B13" s="17" t="n">
        <x:v>5</x:v>
      </x:c>
      <x:c r="C13" s="15" t="str">
        <x:v>LED</x:v>
      </x:c>
      <x:c r="D13" s="13" t="str">
        <x:v>白色 LED；原设计参考Vf 2.6–2.9V</x:v>
      </x:c>
      <x:c r="E13" s="14" t="str">
        <x:v>0603（英制）</x:v>
      </x:c>
      <x:c r="F13" s="13" t="str">
        <x:v>亮度参考120–210mcd；按低电流亮度及极性选料</x:v>
      </x:c>
    </x:row>
    <x:row r="14" ht="28.5" customHeight="1">
      <x:c r="A14" s="18" t="str">
        <x:v>D3–D8, D10–D21, D23–D32, D35–D43</x:v>
      </x:c>
      <x:c r="B14" s="19" t="n">
        <x:v>37</x:v>
      </x:c>
      <x:c r="C14" s="20" t="str">
        <x:v>LED</x:v>
      </x:c>
      <x:c r="D14" s="18" t="str">
        <x:v>黄绿色 LED；约570nm；典型Vf 2.5V</x:v>
      </x:c>
      <x:c r="E14" s="21" t="str">
        <x:v>0805（英制）</x:v>
      </x:c>
      <x:c r="F14" s="18" t="str">
        <x:v>原设计参考70mcd @20mA；按低电流亮度及极性选料</x:v>
      </x:c>
    </x:row>
    <x:row r="15" ht="48" customHeight="1">
      <x:c r="A15" s="13" t="str">
        <x:v>LP1</x:v>
      </x:c>
      <x:c r="B15" s="17" t="n">
        <x:v>1</x:v>
      </x:c>
      <x:c r="C15" s="15" t="str">
        <x:v>功率电感</x:v>
      </x:c>
      <x:c r="D15" s="13" t="str">
        <x:v>1µH ±20%；屏蔽型；Irms≥3.2A；Isat≥4.3A；DCR≤42mΩ</x:v>
      </x:c>
      <x:c r="E15" s="14" t="str">
        <x:v>2520 / 1008（2.5×2.0mm）</x:v>
      </x:c>
      <x:c r="F15" s="13" t="str">
        <x:v>Irms按温升40°C，Isat按电感下降30%
项目焊盘0.8×2.0mm，内距1.2mm</x:v>
      </x:c>
    </x:row>
    <x:row r="16" ht="28.5" customHeight="1">
      <x:c r="A16" s="18" t="str">
        <x:v>R1–R43</x:v>
      </x:c>
      <x:c r="B16" s="19" t="n">
        <x:v>43</x:v>
      </x:c>
      <x:c r="C16" s="20" t="str">
        <x:v>电阻</x:v>
      </x:c>
      <x:c r="D16" s="18" t="str">
        <x:v>470Ω ±1%；功率≥100mW；温漂±100ppm/℃</x:v>
      </x:c>
      <x:c r="E16" s="21" t="str">
        <x:v>0603（英制）</x:v>
      </x:c>
      <x:c r="F16" s="18" t="str"/>
    </x:row>
    <x:row r="17" ht="28.5" customHeight="1">
      <x:c r="A17" s="13" t="str">
        <x:v>R46–R47, R51</x:v>
      </x:c>
      <x:c r="B17" s="17" t="n">
        <x:v>3</x:v>
      </x:c>
      <x:c r="C17" s="15" t="str">
        <x:v>电阻</x:v>
      </x:c>
      <x:c r="D17" s="13" t="str">
        <x:v>4.7kΩ ±1%；功率≥125mW；温漂±100ppm/℃</x:v>
      </x:c>
      <x:c r="E17" s="14" t="str">
        <x:v>0805（英制）</x:v>
      </x:c>
      <x:c r="F17" s="13" t="str"/>
    </x:row>
    <x:row r="18" ht="28.5" customHeight="1">
      <x:c r="A18" s="18" t="str">
        <x:v>R48–R50, R59–R60</x:v>
      </x:c>
      <x:c r="B18" s="19" t="n">
        <x:v>5</x:v>
      </x:c>
      <x:c r="C18" s="20" t="str">
        <x:v>电阻</x:v>
      </x:c>
      <x:c r="D18" s="18" t="str">
        <x:v>10kΩ ±5%；功率≥125mW；温漂±100ppm/℃</x:v>
      </x:c>
      <x:c r="E18" s="21" t="str">
        <x:v>0805（英制）</x:v>
      </x:c>
      <x:c r="F18" s="18" t="str"/>
    </x:row>
    <x:row r="19" ht="28.5" customHeight="1">
      <x:c r="A19" s="13" t="str">
        <x:v>R52, R57–R58</x:v>
      </x:c>
      <x:c r="B19" s="17" t="n">
        <x:v>3</x:v>
      </x:c>
      <x:c r="C19" s="15" t="str">
        <x:v>电阻</x:v>
      </x:c>
      <x:c r="D19" s="13" t="str">
        <x:v>100kΩ ±1%；功率≥125mW；温漂±100ppm/℃</x:v>
      </x:c>
      <x:c r="E19" s="14" t="str">
        <x:v>0805（英制）</x:v>
      </x:c>
      <x:c r="F19" s="13" t="str"/>
    </x:row>
    <x:row r="20" ht="28.5" customHeight="1">
      <x:c r="A20" s="18" t="str">
        <x:v>RP1</x:v>
      </x:c>
      <x:c r="B20" s="19" t="n">
        <x:v>1</x:v>
      </x:c>
      <x:c r="C20" s="20" t="str">
        <x:v>电阻</x:v>
      </x:c>
      <x:c r="D20" s="18" t="str">
        <x:v>56kΩ ±1%；功率≥100mW；温漂±100ppm/℃</x:v>
      </x:c>
      <x:c r="E20" s="21" t="str">
        <x:v>0603（英制）</x:v>
      </x:c>
      <x:c r="F20" s="18" t="str"/>
    </x:row>
    <x:row r="21" ht="28.5" customHeight="1">
      <x:c r="A21" s="13" t="str">
        <x:v>RP2</x:v>
      </x:c>
      <x:c r="B21" s="17" t="n">
        <x:v>1</x:v>
      </x:c>
      <x:c r="C21" s="15" t="str">
        <x:v>电阻</x:v>
      </x:c>
      <x:c r="D21" s="13" t="str">
        <x:v>10kΩ ±1%；功率≥100mW；温漂±100ppm/℃</x:v>
      </x:c>
      <x:c r="E21" s="14" t="str">
        <x:v>0603（英制）</x:v>
      </x:c>
      <x:c r="F21" s="13" t="str"/>
    </x:row>
    <x:row r="22" ht="28.5" customHeight="1">
      <x:c r="A22" s="18" t="str">
        <x:v>SW1–SW2</x:v>
      </x:c>
      <x:c r="B22" s="19" t="n">
        <x:v>2</x:v>
      </x:c>
      <x:c r="C22" s="20" t="str">
        <x:v>开关</x:v>
      </x:c>
      <x:c r="D22" s="18" t="str">
        <x:v>TS-1088-AR02016</x:v>
      </x:c>
      <x:c r="E22" s="21" t="str">
        <x:v>SMD,4x3mm</x:v>
      </x:c>
      <x:c r="F22" s="18" t="str"/>
    </x:row>
    <x:row r="23" ht="28.5" customHeight="1">
      <x:c r="A23" s="13" t="str">
        <x:v>SW3</x:v>
      </x:c>
      <x:c r="B23" s="17" t="n">
        <x:v>1</x:v>
      </x:c>
      <x:c r="C23" s="15" t="str">
        <x:v>开关</x:v>
      </x:c>
      <x:c r="D23" s="13" t="str">
        <x:v>MK-12C02-G020</x:v>
      </x:c>
      <x:c r="E23" s="14" t="str">
        <x:v>SMD,6.6x1.4mm</x:v>
      </x:c>
      <x:c r="F23" s="13" t="str"/>
    </x:row>
    <x:row r="24" ht="28.5" customHeight="1">
      <x:c r="A24" s="18" t="str">
        <x:v>U1</x:v>
      </x:c>
      <x:c r="B24" s="19" t="n">
        <x:v>1</x:v>
      </x:c>
      <x:c r="C24" s="20" t="str">
        <x:v>芯片</x:v>
      </x:c>
      <x:c r="D24" s="18" t="str">
        <x:v>STM32C011F4P6</x:v>
      </x:c>
      <x:c r="E24" s="21" t="str">
        <x:v>TSSOP-20</x:v>
      </x:c>
      <x:c r="F24" s="18" t="str"/>
    </x:row>
    <x:row r="25" ht="28.5" customHeight="1">
      <x:c r="A25" s="13" t="str">
        <x:v>U3</x:v>
      </x:c>
      <x:c r="B25" s="17" t="n">
        <x:v>1</x:v>
      </x:c>
      <x:c r="C25" s="15" t="str">
        <x:v>芯片</x:v>
      </x:c>
      <x:c r="D25" s="13" t="str">
        <x:v>AT24C02C-SSHM-T</x:v>
      </x:c>
      <x:c r="E25" s="14" t="str">
        <x:v>SOIC-8</x:v>
      </x:c>
      <x:c r="F25" s="13" t="str"/>
    </x:row>
    <x:row r="26" ht="28.5" customHeight="1">
      <x:c r="A26" s="18" t="str">
        <x:v>U4–U8</x:v>
      </x:c>
      <x:c r="B26" s="19" t="n">
        <x:v>5</x:v>
      </x:c>
      <x:c r="C26" s="20" t="str">
        <x:v>芯片</x:v>
      </x:c>
      <x:c r="D26" s="18" t="str">
        <x:v>TCA9534PWR</x:v>
      </x:c>
      <x:c r="E26" s="21" t="str">
        <x:v>TSSOP-16</x:v>
      </x:c>
      <x:c r="F26" s="18" t="str"/>
    </x:row>
    <x:row r="27" ht="28.5" customHeight="1">
      <x:c r="A27" s="13" t="str">
        <x:v>U12</x:v>
      </x:c>
      <x:c r="B27" s="17" t="n">
        <x:v>1</x:v>
      </x:c>
      <x:c r="C27" s="15" t="str">
        <x:v>芯片</x:v>
      </x:c>
      <x:c r="D27" s="13" t="str">
        <x:v>LSM303AGRTR</x:v>
      </x:c>
      <x:c r="E27" s="14" t="str">
        <x:v>LGA-12(2x2)</x:v>
      </x:c>
      <x:c r="F27" s="13" t="str"/>
    </x:row>
    <x:row r="28" ht="28.5" customHeight="1">
      <x:c r="A28" s="18" t="str">
        <x:v>UP1</x:v>
      </x:c>
      <x:c r="B28" s="19" t="n">
        <x:v>1</x:v>
      </x:c>
      <x:c r="C28" s="20" t="str">
        <x:v>芯片</x:v>
      </x:c>
      <x:c r="D28" s="18" t="str">
        <x:v>TPS631000DRLR</x:v>
      </x:c>
      <x:c r="E28" s="21" t="str">
        <x:v>SOT-583</x:v>
      </x:c>
      <x:c r="F28" s="18" t="str"/>
    </x:row>
    <x:row r="29">
      <x:c r="A29" s="2"/>
      <x:c r="B29" s="2"/>
      <x:c r="C29" s="2"/>
      <x:c r="D29" s="2"/>
      <x:c r="E29" s="2"/>
      <x:c r="F29" s="2"/>
    </x:row>
    <x:row r="30">
      <x:c r="A30" s="22" t="str">
        <x:v>容量/耐压/精度/功率及封装需同时匹配；本表按完整装配数量，不包含J2及TP1/TP2。</x:v>
      </x:c>
      <x:c r="B30" s="2"/>
      <x:c r="C30" s="2"/>
      <x:c r="D30" s="2"/>
      <x:c r="E30" s="2"/>
      <x:c r="F30" s="2"/>
    </x:row>
  </x:sheetData>
  <x:pageMargins left="0.7" right="0.7" top="0.75" bottom="0.75" header="0.3" footer="0.3"/>
  <x:legacyDrawing xmlns:r="http://schemas.openxmlformats.org/officeDocument/2006/relationships" r:id="Rd505f905bd574913"/>
</x:worksheet>
</file>